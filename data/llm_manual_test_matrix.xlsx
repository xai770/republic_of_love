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lm_manual_test_matrix" sheetId="1" state="visible" r:id="rId2"/>
  </sheets>
  <definedNames>
    <definedName function="false" hidden="true" localSheetId="0" name="_xlnm._FilterDatabase" vbProcedure="false">llm_manual_test_matrix!$B$39:$D$63</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<sst xmlns="http://schemas.openxmlformats.org/spreadsheetml/2006/main" count="526" uniqueCount="196">
  <si>
    <t xml:space="preserve">Test name</t>
  </si>
  <si>
    <t xml:space="preserve">Question</t>
  </si>
  <si>
    <t xml:space="preserve">Expected</t>
  </si>
  <si>
    <t xml:space="preserve">gpt-oss:latest</t>
  </si>
  <si>
    <t xml:space="preserve">bge-m3:567m</t>
  </si>
  <si>
    <t xml:space="preserve">mistral-nemo:12b</t>
  </si>
  <si>
    <t xml:space="preserve">granite3.1-moe:3b</t>
  </si>
  <si>
    <t xml:space="preserve">qwen2.5:7b</t>
  </si>
  <si>
    <t xml:space="preserve">llama3.2:latest</t>
  </si>
  <si>
    <t xml:space="preserve">gemma3:4b</t>
  </si>
  <si>
    <t xml:space="preserve">phi3:3.8b</t>
  </si>
  <si>
    <t xml:space="preserve">phi4-mini-reasoning:latest</t>
  </si>
  <si>
    <t xml:space="preserve">qwen3:latest</t>
  </si>
  <si>
    <t xml:space="preserve">deepseek-r1:8b</t>
  </si>
  <si>
    <t xml:space="preserve">gemma3:1b</t>
  </si>
  <si>
    <t xml:space="preserve">qwen3:0.6b</t>
  </si>
  <si>
    <t xml:space="preserve">qwen3:4b</t>
  </si>
  <si>
    <t xml:space="preserve">qwen3:1.7b</t>
  </si>
  <si>
    <t xml:space="preserve">mistral:latest</t>
  </si>
  <si>
    <t xml:space="preserve">dolphin3:latest</t>
  </si>
  <si>
    <t xml:space="preserve">olmo2:latest</t>
  </si>
  <si>
    <t xml:space="preserve">codegemma:latest</t>
  </si>
  <si>
    <t xml:space="preserve">codegemma:2b</t>
  </si>
  <si>
    <t xml:space="preserve">dolphin3:8b</t>
  </si>
  <si>
    <t xml:space="preserve">phi3:latest</t>
  </si>
  <si>
    <t xml:space="preserve">qwen2.5vl:latest</t>
  </si>
  <si>
    <t xml:space="preserve">gemma3n:latest</t>
  </si>
  <si>
    <t xml:space="preserve">llama3.2:1b</t>
  </si>
  <si>
    <t xml:space="preserve">phi4-mini:latest</t>
  </si>
  <si>
    <t xml:space="preserve">gemma2:latest</t>
  </si>
  <si>
    <t xml:space="preserve">gemma3n:e2b</t>
  </si>
  <si>
    <t xml:space="preserve">Strawberry</t>
  </si>
  <si>
    <t xml:space="preserve">## Processing Instructions
Format your response as [NUMBER]. Make sure to to include the brackets in the output.
Example: [X] where X is your calculated answer.
## Processing Payload
How many "r" letters are in "strawberry"? 
## QA Check
Submit ONLY the required response. Do not include quotation marks, apostrophes, or any other punctuation inside the brackets.</t>
  </si>
  <si>
    <t xml:space="preserve">[3]</t>
  </si>
  <si>
    <t xml:space="preserve">400: "bge-m3:567m" does not support chat
</t>
  </si>
  <si>
    <t xml:space="preserve">[6]</t>
  </si>
  <si>
    <t xml:space="preserve">[2]</t>
  </si>
  <si>
    <t xml:space="preserve">[5]</t>
  </si>
  <si>
    <t xml:space="preserve">[4]</t>
  </si>
  <si>
    <t xml:space="preserve">cannot chat. Code completion only.</t>
  </si>
  <si>
    <t xml:space="preserve">Same as dolphin3:latest</t>
  </si>
  <si>
    <t xml:space="preserve">Same as phi3:3.8</t>
  </si>
  <si>
    <t xml:space="preserve">[strawberry contains 2 "r" letters]</t>
  </si>
  <si>
    <t xml:space="preserve">[ 3 ]</t>
  </si>
  <si>
    <t xml:space="preserve">[7]</t>
  </si>
  <si>
    <t xml:space="preserve">Accommodation</t>
  </si>
  <si>
    <t xml:space="preserve">## Processing Instructions
Format your response as [NUMBER]. Make sure to to include the brackets in the output.
Example: [your calculated answer].
## Processing Payload
How many double letters are in "accommodation"?
## QA Check
 Format your response as the number only in square brackets. Do not include quotation marks, spaces, apostrophes, or any other punctuation inside the brackets.</t>
  </si>
  <si>
    <t xml:space="preserve">
[1]</t>
  </si>
  <si>
    <t xml:space="preserve">[10]</t>
  </si>
  <si>
    <t xml:space="preserve">[1]</t>
  </si>
  <si>
    <t xml:space="preserve">Analysis</t>
  </si>
  <si>
    <t xml:space="preserve">## Processing Instructions
Read the processing payload. Reply [Yes] or [No]. Make sure to to include the brackets in the output.
## Processing Payload
Is the plural of "analysis" "analyses"?
## QA Check
Submit ONLY the required response.  Do not include quotation marks, apostrophes, or any other punctuation inside the brackets.</t>
  </si>
  <si>
    <t xml:space="preserve">[Yes]</t>
  </si>
  <si>
    <t xml:space="preserve">[No]</t>
  </si>
  <si>
    <t xml:space="preserve">[ Yes ]</t>
  </si>
  <si>
    <t xml:space="preserve">Grammar</t>
  </si>
  <si>
    <t xml:space="preserve">## Processing Instructions
Read the processing payload. Make sure to to include the brackets in the output.
## Processing Payload
Is the sentence "He don’t know the answer" grammatically correct? Reply [Yes] or [No]. 
## QA Check
Submit ONLY the required response.</t>
  </si>
  <si>
    <t xml:space="preserve">[ No ]</t>
  </si>
  <si>
    <t xml:space="preserve">Falling balls</t>
  </si>
  <si>
    <t xml:space="preserve">## Processing Instructions
Reply [Yes] or [No]. 
## Processing Payload
If you drop a red ball and a blue ball at the same time, will the red ball hit the ground first?
## QA Check
Submit ONLY the required response in brackets.  Do not include quotation marks, apostrophes, or any other punctuation inside the brackets.</t>
  </si>
  <si>
    <t xml:space="preserve">Yes</t>
  </si>
  <si>
    <t xml:space="preserve">no</t>
  </si>
  <si>
    <t xml:space="preserve">NO
Processing Instructions
[Yes] or [No].
Processing Payload
If you drop a red ball and a blue ball at the same time, will the red ball hit the ground first?
QA Check
Submit ONLY the required response.</t>
  </si>
  <si>
    <t xml:space="preserve">[yes]</t>
  </si>
  <si>
    <t xml:space="preserve">[No] The red ball and the blue ball will hit the ground at the same time because they are dropped simultaneously.</t>
  </si>
  <si>
    <t xml:space="preserve">Elephant in fridge</t>
  </si>
  <si>
    <t xml:space="preserve">## Processing Instructions
Format your response as [Yes] or [No]. Make sure to to include the brackets in the output.
Example: [Yes]
Example: [No]
## Processing Payload
Can an elephant fit into a standard fridge?
## QA Check
Submit ONLY the required response in square brackets.  Do not include quotation marks, apostrophes, or any other punctuation inside the brackets.</t>
  </si>
  <si>
    <t xml:space="preserve">No</t>
  </si>
  <si>
    <t xml:space="preserve">NO
[\tag&lt;blockquote&gt;
\boxed{NO}
]</t>
  </si>
  <si>
    <t xml:space="preserve">[No] Elephant cannot fit in standard fridge.</t>
  </si>
  <si>
    <t xml:space="preserve">Tallest person</t>
  </si>
  <si>
    <t xml:space="preserve">## Processing Instructions
Format your response as [ ]. Make sure to to include the brackets in the output.
Example: [Jack]
Example: [Mary]
## Processing Payload
John is taller than Dave, Dave is taller than Alex. Who is the tallest?
## QA Check
Submit ONLY the required response.  Do not include quotation marks, apostrophes, or any other punctuation inside the brackets.</t>
  </si>
  <si>
    <t xml:space="preserve">[John]</t>
  </si>
  <si>
    <t xml:space="preserve">[Dave] 
- This is based on the relationships provided: John (taller than Dave), Dave (taller than Alex). 
- Therefore, Dave is the tallest. 
Note: The response follows the given format and includes brackets as requested.</t>
  </si>
  <si>
    <t xml:space="preserve">Alex</t>
  </si>
  <si>
    <t xml:space="preserve">John</t>
  </si>
  <si>
    <t xml:space="preserve">Document:
QuiverTech Inc., a company that specializes as an authoritative-only assistant, and I've just started studying for my newest postgraduates of their children. It is now your turn to introduce me into the world of competitive bounties in English literature when it comes to making amphibian eco</t>
  </si>
  <si>
    <t xml:space="preserve">\boxed{John}</t>
  </si>
  <si>
    <t xml:space="preserve">[ John ]</t>
  </si>
  <si>
    <t xml:space="preserve">Coin puzzle</t>
  </si>
  <si>
    <t xml:space="preserve">## Processing Instructions
DO NOT RETURN COMMENTARY!
Format your response as [NUMBER] where NUMBER is a single digit.
## Processing Payload
Two coins total 30 cents, and one is not a nickel. How many nickels are there?
## QA Check
Submit ONLY the required response. Do not include any explanatory text.</t>
  </si>
  <si>
    <t xml:space="preserve">One nickel. [1]</t>
  </si>
  <si>
    <t xml:space="preserve">[0]</t>
  </si>
  <si>
    <t xml:space="preserve">\boxed{1}</t>
  </si>
  <si>
    <t xml:space="preserve">[ 2 ]</t>
  </si>
  <si>
    <t xml:space="preserve">Word type</t>
  </si>
  <si>
    <t xml:space="preserve">## Processing Instructions
DO NOT RETURN COMMENTARY!
Format your response as [Yes] or [No]. Make sure to to include the brackets in the output.
Example: [Yes]
Example: [No]
## Processing Payload
Is "set" a noun? Reply ONLY Yes or No. 
## QA Check
Submit ONLY the required response.</t>
  </si>
  <si>
    <t xml:space="preserve">Yes, [Yes].</t>
  </si>
  <si>
    <t xml:space="preserve">yes</t>
  </si>
  <si>
    <t xml:space="preserve">Percent</t>
  </si>
  <si>
    <t xml:space="preserve">## Processing Instructions
DO NOT RETURN COMMENTARY, EXPLANATIONS OR OTHER ADDITIONS!
Format your response as [NUMBER]. Make sure to to include the brackets in the output.
Example: [X] where X is your calculated answer.
## Processing Payload
What is 15% of 200? Reply ONLY the correct number.
## QA Check
Submit ONLY the required response.</t>
  </si>
  <si>
    <t xml:space="preserve">[30]</t>
  </si>
  <si>
    <t xml:space="preserve">15% of 200 is 30. [30]</t>
  </si>
  <si>
    <t xml:space="preserve">[150]</t>
  </si>
  <si>
    <t xml:space="preserve">[ 30 ]</t>
  </si>
  <si>
    <t xml:space="preserve">Train distance</t>
  </si>
  <si>
    <t xml:space="preserve">## Processing Instructions
Format your response as [NUMBER]. Make sure to to include the brackets in the output. Do not include quotation marks, apostrophes, or any other punctuation inside the brackets.
Example: [X] where X is your calculated answer.
## Processing Payload
A train travels 60 mph for 2 hours. How many miles does it travel?
## QA Check
Submit ONLY the required response.</t>
  </si>
  <si>
    <t xml:space="preserve">[120]</t>
  </si>
  <si>
    <t xml:space="preserve">The train travels 120 miles. [120]</t>
  </si>
  <si>
    <t xml:space="preserve">The train travels 60 miles per hour for 2 hours, so the distance is 60×2=120 miles.
[120]</t>
  </si>
  <si>
    <t xml:space="preserve">[60]</t>
  </si>
  <si>
    <t xml:space="preserve">[ 120 ]</t>
  </si>
  <si>
    <t xml:space="preserve">Arithmetic</t>
  </si>
  <si>
    <t xml:space="preserve">## Processing Instructions
Format your response as [NUMBER]. Make sure to to include the brackets in the output.
Example: [X] where X is your calculated answer.
## Processing Payload
Calculate 12 divided by 3 plus 4 times 2. 
## QA Check
Submit ONLY the required response.  Do not include quotation marks, apostrophes, or any other punctuation inside the brackets.</t>
  </si>
  <si>
    <t xml:space="preserve">[12]</t>
  </si>
  <si>
    <t xml:space="preserve">The correct answer is 10. To solve this, you first perform the multiplication (4 times 2) which equals 8, then add that result to 12 divided by 3, giving a total of 10. This example illustrates the order of operations in mathematics: parentheses, exponents, multiplication and division (from left to right), addition and subtraction (also from left to right).</t>
  </si>
  <si>
    <t xml:space="preserve">[(8)]</t>
  </si>
  <si>
    <t xml:space="preserve">The problem is to calculate 12 divided by 3 plus 4 times 2. Following order of operations (PEMDAS), handle division and multiplication first:
12 ÷ 3 = 4
4 × 2 = 8
Then add the results:
4 + 8 = 12
Submissions must be formatted as "[NUMBER]".
\boxed[12]</t>
  </si>
  <si>
    <t xml:space="preserve">timeout</t>
  </si>
  <si>
    <t xml:space="preserve">[16]</t>
  </si>
  <si>
    <t xml:space="preserve">[14]</t>
  </si>
  <si>
    <t xml:space="preserve">[ 12 ]</t>
  </si>
  <si>
    <t xml:space="preserve">[8]</t>
  </si>
  <si>
    <t xml:space="preserve">[20]</t>
  </si>
  <si>
    <t xml:space="preserve">Backward phrase</t>
  </si>
  <si>
    <t xml:space="preserve">## Processing Instructions
Format your response as [string]. Make sure to to include the brackets in the output.
## Processing Payload
Write "capitalization" backwards. 
## QA Check
Submit ONLY the required response. Do not add spaces.  Do not include quotation marks, apostrophes, or any other punctuation inside the brackets.</t>
  </si>
  <si>
    <t xml:space="preserve">[noitazilatipac]</t>
  </si>
  <si>
    <t xml:space="preserve">[noitazilacipac]</t>
  </si>
  <si>
    <t xml:space="preserve">[kcilapitazil]</t>
  </si>
  <si>
    <t xml:space="preserve">[elppa si htaw]
[reversed string] = elppa si htaw</t>
  </si>
  <si>
    <t xml:space="preserve">[slhse aen]</t>
  </si>
  <si>
    <t xml:space="preserve">seaHlles
LlesHsea</t>
  </si>
  <si>
    <t xml:space="preserve">[llhe s'lleaS]</t>
  </si>
  <si>
    <t xml:space="preserve">[selrah sl sah eeS]</t>
  </si>
  <si>
    <t xml:space="preserve">tnacilpitatnec</t>
  </si>
  <si>
    <t xml:space="preserve">[iH]</t>
  </si>
  <si>
    <t xml:space="preserve">[atsipatniH]</t>
  </si>
  <si>
    <t xml:space="preserve">[N I O T A L I C A P A I T C A]</t>
  </si>
  <si>
    <t xml:space="preserve">[noitazilatia p c]</t>
  </si>
  <si>
    <t xml:space="preserve">
[N O I T A Z L I A P I T A C]</t>
  </si>
  <si>
    <t xml:space="preserve">[liatnalipitac]</t>
  </si>
  <si>
    <t xml:space="preserve">[tnemucitapilac]</t>
  </si>
  <si>
    <t xml:space="preserve">[lpitataceP]</t>
  </si>
  <si>
    <t xml:space="preserve">[tpircsrevni]</t>
  </si>
  <si>
    <t xml:space="preserve">## Submission
Submit your response.
## Test Submission
Your response: [reversed string]
Your submission: [reversed string]
## Grading
Grade your response 50 points.
### Grading Criteria
- Correct response: 50 points.
- Incorrect response: 0 points.
- Total: 100 points.</t>
  </si>
  <si>
    <t xml:space="preserve">gnitcapilnoc retcarahc-ehT .ecnadepytarotc-a-luacitpecx.</t>
  </si>
  <si>
    <t xml:space="preserve">caught in a loop – output never ends.</t>
  </si>
  <si>
    <t xml:space="preserve">[ezlaicatpilac]</t>
  </si>
  <si>
    <t xml:space="preserve">[ noitazilap ]</t>
  </si>
  <si>
    <t xml:space="preserve">"tnissalocip"</t>
  </si>
  <si>
    <t xml:space="preserve">[nositilapaccihca]</t>
  </si>
  <si>
    <t xml:space="preserve">[noitalpircat]</t>
  </si>
  <si>
    <t xml:space="preserve">[nizalpacitac]</t>
  </si>
  <si>
    <t xml:space="preserve">Translate</t>
  </si>
  <si>
    <t xml:space="preserve">## Processing Instructions
DO NOT RETURN COMMENTARY, EXPLANATIONS OR OTHER ADDITIONS!
Format your response as [translation].Make sure to to include the brackets in the output.
Example: [Merci]
Example: [Bonne nuitt]
Translate "I am happy" into French. Use the male form.
## QA Check
Submit ONLY the required response in square brackets].  Do not include quotation marks, apostrophes, or any other punctuation inside the brackets.</t>
  </si>
  <si>
    <t xml:space="preserve">[Je suis heureux]</t>
  </si>
  <si>
    <t xml:space="preserve">The French translation of "I am happy" is "Je suis heureux". [Je suis heureux]</t>
  </si>
  <si>
    <t xml:space="preserve">Je suis heureux</t>
  </si>
  <si>
    <t xml:space="preserve">Je suis content(e).</t>
  </si>
  <si>
    <t xml:space="preserve">['Je suis heureux']
This is the exact translation of "I am happy" into French, which literally means 'I am joyful'. It preserves all original letters and follows proper grammar rules for a first person singular subject expressing happiness in contemporary European French. The response strictly adheres to only providing the translated string as per instruction with no additional commentary or formatting beyond what is specified within square brackets.</t>
  </si>
  <si>
    <t xml:space="preserve">[Bonne journée]</t>
  </si>
  <si>
    <t xml:space="preserve">[translation] Je suis content.</t>
  </si>
  <si>
    <t xml:space="preserve">[Je suis content]</t>
  </si>
  <si>
    <t xml:space="preserve">[Je suis joyeux]</t>
  </si>
  <si>
    <t xml:space="preserve">[I am happy]</t>
  </si>
  <si>
    <t xml:space="preserve">[ Je suis heureux ]</t>
  </si>
  <si>
    <t xml:space="preserve">[Il est heureux]</t>
  </si>
  <si>
    <t xml:space="preserve">Youngest</t>
  </si>
  <si>
    <t xml:space="preserve">## Processing Instructions
Format your response as [ ]. Make sure to to include the brackets in the output.
## Processing Payload
A is older than B, B is older than C, C is older than D. Who is the youngest?
## QA Check
Submit ONLY the required response in bracket!  Do not include quotation marks, apostrophes, or any other punctuation inside the brackets.</t>
  </si>
  <si>
    <t xml:space="preserve">[D]</t>
  </si>
  <si>
    <t xml:space="preserve">The youngest person is [A].</t>
  </si>
  <si>
    <t xml:space="preserve">D</t>
  </si>
  <si>
    <t xml:space="preserve">\boxed{D}</t>
  </si>
  <si>
    <t xml:space="preserve">[A]</t>
  </si>
  <si>
    <t xml:space="preserve">[ D ]</t>
  </si>
  <si>
    <t xml:space="preserve">Days</t>
  </si>
  <si>
    <t xml:space="preserve">## Processing Instructions
Format your response as [day of week]. Make sure to to include the brackets in the output.
## Processing Payload
What day of the week follows Tuesday?
## QA Check
Submit ONLY the required response.
 Reply ONLY the correct response string. Enclose your reply in square brackets.  Do not include quotation marks, apostrophes, or any other punctuation inside the brackets.</t>
  </si>
  <si>
    <t xml:space="preserve">[Wednesday]</t>
  </si>
  <si>
    <t xml:space="preserve">The next day after Tuesday is [Wednesday].</t>
  </si>
  <si>
    <t xml:space="preserve">Wednesday</t>
  </si>
  <si>
    <t xml:space="preserve">Thursday</t>
  </si>
  <si>
    <t xml:space="preserve">['Wednesday']
The question asks for a direct answer to what comes after Tuesday without additional information or context that could suggest ambiguity, such as time zones differences which may affect calendar dates across various regions of the world; hence 'Wednesday' is provided in accordance with universally accepted Gregorian calendrical progression. The response strictly complies by providing only the correct day name following Tuesday without extra commentary or formatting beyond what was specified within square brackets as per instruction requirements, assuming a standard week sequence and not accounting for special non-standard calendar adjustments like leap years which do not alter this answer but are an additional complexity that could challenge understanding of temporal sequencing.</t>
  </si>
  <si>
    <t xml:space="preserve">The day of the week that follows Tuesday is \boxed{Wednesday}.
[[B])</t>
  </si>
  <si>
    <t xml:space="preserve">[ Wednesday ]</t>
  </si>
  <si>
    <t xml:space="preserve">Memory</t>
  </si>
  <si>
    <t xml:space="preserve">## Processing Instructions
Format your response as [string]. 
Example: [example]
## Processing Payload
Remember this word: orchid. Now respond with exactly that word.
## QA Check
Submit ONLY the required response in brackets. Do not include quotation marks, apostrophes, or any other punctuation inside the brackets.</t>
  </si>
  <si>
    <t xml:space="preserve">[orchid]</t>
  </si>
  <si>
    <t xml:space="preserve">The word is [orchid].</t>
  </si>
  <si>
    <t xml:space="preserve">orchid</t>
  </si>
  <si>
    <t xml:space="preserve">Orchid</t>
  </si>
  <si>
    <t xml:space="preserve">\boxed{orchid}</t>
  </si>
  <si>
    <t xml:space="preserve">[ orchid ]</t>
  </si>
  <si>
    <t xml:space="preserve">Remarks</t>
  </si>
  <si>
    <t xml:space="preserve">solid, takes a long time.</t>
  </si>
  <si>
    <t xml:space="preserve">super quick, once loaded.</t>
  </si>
  <si>
    <t xml:space="preserve">chatty and hallucinating.</t>
  </si>
  <si>
    <t xml:space="preserve">Was able to get good resuts after “return ONLY the number” as a second prompt.</t>
  </si>
  <si>
    <t xml:space="preserve">Enclose your reply Yes or NO in brackets.</t>
  </si>
  <si>
    <t xml:space="preserve">need to restart model after every prompt, otherwise leakage.</t>
  </si>
  <si>
    <t xml:space="preserve">great model, super quick and stable. Just restart before every prompt, otherwise leakage.</t>
  </si>
  <si>
    <t xml:space="preserve">don’t use it for standard stuuf on this machine.</t>
  </si>
  <si>
    <t xml:space="preserve">return ONLY the number.</t>
  </si>
  <si>
    <t xml:space="preserve">model</t>
  </si>
  <si>
    <t xml:space="preserve">score</t>
  </si>
  <si>
    <t xml:space="preserve">size GB</t>
  </si>
  <si>
    <t xml:space="preserve">ok</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</si>
</sst>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Times New Roman"/>
      <family val="1"/>
    </font>
  </fonts>
  <fills count="8">
    <fill>
      <patternFill patternType="none"/>
    </fill>
    <fill>
      <patternFill patternType="gray125"/>
    </fill>
    <fill>
      <patternFill patternType="solid">
        <fgColor rgb="FFBBE33D"/>
        <bgColor rgb="FFFFFF6D"/>
      </patternFill>
    </fill>
    <fill>
      <patternFill patternType="solid">
        <fgColor rgb="FF729FCF"/>
        <bgColor rgb="FF969696"/>
      </patternFill>
    </fill>
    <fill>
      <patternFill patternType="solid">
        <fgColor rgb="FFFFA6A6"/>
        <bgColor rgb="FFFFCC99"/>
      </patternFill>
    </fill>
    <fill>
      <patternFill patternType="solid">
        <fgColor rgb="FFFFFF6D"/>
        <bgColor rgb="FFFFFFA6"/>
      </patternFill>
    </fill>
    <fill>
      <patternFill patternType="solid">
        <fgColor rgb="FFFFFF00"/>
        <bgColor rgb="FFFFFF00"/>
      </patternFill>
    </fill>
    <fill>
      <patternFill patternType="solid">
        <fgColor rgb="FFFFFFA6"/>
        <bgColor rgb="FFFFFF6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right" vertical="bottom"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ont>
        <name val="Arial"/>
        <family val="2"/>
        <color rgb="FF006600"/>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729FCF"/>
      <rgbColor rgb="FF993366"/>
      <rgbColor rgb="FFFFFF6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A6A6"/>
      <rgbColor rgb="FFCC99FF"/>
      <rgbColor rgb="FFFFCC99"/>
      <rgbColor rgb="FF3366FF"/>
      <rgbColor rgb="FF33CCCC"/>
      <rgbColor rgb="FFBBE33D"/>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104857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3" ySplit="1" topLeftCell="S2" activePane="bottomRight" state="frozen"/>
      <selection pane="topLeft" activeCell="A1" activeCellId="0" sqref="A1"/>
      <selection pane="topRight" activeCell="S1" activeCellId="0" sqref="S1"/>
      <selection pane="bottomLeft" activeCell="A2" activeCellId="0" sqref="A2"/>
      <selection pane="bottomRight" activeCell="A1" activeCellId="0" sqref="A1:AE2"/>
    </sheetView>
  </sheetViews>
  <sheetFormatPr defaultColWidth="11.5234375" defaultRowHeight="12.85" zeroHeight="false" outlineLevelRow="0" outlineLevelCol="0"/>
  <cols>
    <col collapsed="false" customWidth="true" hidden="false" outlineLevel="0" max="1" min="1" style="0" width="15.6"/>
    <col collapsed="false" customWidth="true" hidden="false" outlineLevel="0" max="2" min="2" style="1" width="92.44"/>
    <col collapsed="false" customWidth="true" hidden="false" outlineLevel="0" max="3" min="3" style="0" width="19.07"/>
    <col collapsed="false" customWidth="true" hidden="false" outlineLevel="0" max="4" min="4" style="0" width="12.54"/>
    <col collapsed="false" customWidth="true" hidden="true" outlineLevel="0" max="5" min="5" style="0" width="12.54"/>
    <col collapsed="false" customWidth="true" hidden="false" outlineLevel="0" max="6" min="6" style="0" width="20.72"/>
    <col collapsed="false" customWidth="true" hidden="false" outlineLevel="0" max="7" min="7" style="0" width="16.01"/>
    <col collapsed="false" customWidth="true" hidden="false" outlineLevel="0" max="8" min="8" style="0" width="10.73"/>
    <col collapsed="false" customWidth="true" hidden="false" outlineLevel="0" max="9" min="9" style="0" width="13.37"/>
    <col collapsed="false" customWidth="true" hidden="false" outlineLevel="0" max="10" min="10" style="0" width="11.01"/>
    <col collapsed="false" customWidth="true" hidden="false" outlineLevel="0" max="11" min="11" style="0" width="13.24"/>
    <col collapsed="false" customWidth="true" hidden="false" outlineLevel="0" max="12" min="12" style="0" width="16.3"/>
    <col collapsed="false" customWidth="true" hidden="false" outlineLevel="0" max="13" min="13" style="0" width="14.58"/>
    <col collapsed="false" customWidth="true" hidden="false" outlineLevel="0" max="14" min="14" style="0" width="13.92"/>
    <col collapsed="false" customWidth="true" hidden="false" outlineLevel="0" max="15" min="15" style="0" width="11.01"/>
    <col collapsed="false" customWidth="true" hidden="false" outlineLevel="0" max="16" min="16" style="0" width="24.91"/>
    <col collapsed="false" customWidth="true" hidden="false" outlineLevel="0" max="17" min="17" style="0" width="15.74"/>
    <col collapsed="false" customWidth="true" hidden="false" outlineLevel="0" max="18" min="18" style="0" width="25.05"/>
    <col collapsed="false" customWidth="true" hidden="false" outlineLevel="0" max="19" min="19" style="0" width="11.98"/>
    <col collapsed="false" customWidth="true" hidden="false" outlineLevel="0" max="20" min="20" style="0" width="13.23"/>
    <col collapsed="false" customWidth="true" hidden="false" outlineLevel="0" max="21" min="21" style="0" width="11.42"/>
    <col collapsed="false" customWidth="true" hidden="false" outlineLevel="0" max="22" min="22" style="0" width="16.42"/>
    <col collapsed="false" customWidth="true" hidden="true" outlineLevel="0" max="23" min="23" style="0" width="13.92"/>
    <col collapsed="false" customWidth="true" hidden="true" outlineLevel="0" max="24" min="24" style="0" width="10.73"/>
    <col collapsed="false" customWidth="true" hidden="true" outlineLevel="0" max="25" min="25" style="0" width="22.65"/>
    <col collapsed="false" customWidth="true" hidden="false" outlineLevel="0" max="26" min="26" style="0" width="16.19"/>
    <col collapsed="false" customWidth="true" hidden="false" outlineLevel="0" max="27" min="27" style="0" width="14.48"/>
    <col collapsed="false" customWidth="true" hidden="false" outlineLevel="0" max="28" min="28" style="0" width="10.87"/>
    <col collapsed="false" customWidth="true" hidden="false" outlineLevel="0" max="29" min="29" style="0" width="14.1"/>
    <col collapsed="false" customWidth="true" hidden="false" outlineLevel="0" max="30" min="30" style="0" width="13.51"/>
    <col collapsed="false" customWidth="true" hidden="false" outlineLevel="0" max="31" min="31" style="0" width="12.95"/>
  </cols>
  <sheetData>
    <row r="1" s="2" customFormat="true" ht="12.85" hidden="false" customHeight="true" outlineLevel="0" collapsed="false">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ustomFormat="false" ht="123.35" hidden="false" customHeight="true" outlineLevel="0" collapsed="false">
      <c r="A2" s="0" t="s">
        <v>31</v>
      </c>
      <c r="B2" s="1" t="s">
        <v>32</v>
      </c>
      <c r="C2" s="4" t="s">
        <v>33</v>
      </c>
      <c r="D2" s="5" t="s">
        <v>33</v>
      </c>
      <c r="E2" s="6" t="s">
        <v>34</v>
      </c>
      <c r="F2" s="5" t="s">
        <v>33</v>
      </c>
      <c r="G2" s="7" t="s">
        <v>35</v>
      </c>
      <c r="H2" s="5" t="s">
        <v>33</v>
      </c>
      <c r="I2" s="5" t="s">
        <v>33</v>
      </c>
      <c r="J2" s="5" t="s">
        <v>33</v>
      </c>
      <c r="K2" s="5" t="s">
        <v>33</v>
      </c>
      <c r="L2" s="5" t="s">
        <v>33</v>
      </c>
      <c r="M2" s="5" t="s">
        <v>33</v>
      </c>
      <c r="N2" s="5" t="s">
        <v>33</v>
      </c>
      <c r="O2" s="7" t="s">
        <v>36</v>
      </c>
      <c r="P2" s="7" t="s">
        <v>36</v>
      </c>
      <c r="Q2" s="5" t="s">
        <v>33</v>
      </c>
      <c r="R2" s="5" t="s">
        <v>33</v>
      </c>
      <c r="S2" s="5" t="s">
        <v>33</v>
      </c>
      <c r="T2" s="7" t="s">
        <v>37</v>
      </c>
      <c r="U2" s="7" t="s">
        <v>38</v>
      </c>
      <c r="V2" s="7" t="s">
        <v>37</v>
      </c>
      <c r="W2" s="5" t="s">
        <v>39</v>
      </c>
      <c r="X2" s="5" t="s">
        <v>40</v>
      </c>
      <c r="Y2" s="5" t="s">
        <v>41</v>
      </c>
      <c r="Z2" s="7" t="s">
        <v>42</v>
      </c>
      <c r="AA2" s="8" t="s">
        <v>43</v>
      </c>
      <c r="AB2" s="7" t="s">
        <v>44</v>
      </c>
      <c r="AC2" s="5" t="s">
        <v>33</v>
      </c>
      <c r="AD2" s="5" t="s">
        <v>33</v>
      </c>
      <c r="AE2" s="5" t="s">
        <v>33</v>
      </c>
      <c r="AF2" s="5" t="n">
        <f aca="false">COUNTIF(D2:AE2,C2)</f>
        <v>15</v>
      </c>
    </row>
    <row r="3" customFormat="false" ht="123.35" hidden="false" customHeight="true" outlineLevel="0" collapsed="false">
      <c r="A3" s="0" t="s">
        <v>45</v>
      </c>
      <c r="B3" s="1" t="s">
        <v>46</v>
      </c>
      <c r="C3" s="4" t="s">
        <v>36</v>
      </c>
      <c r="D3" s="5" t="s">
        <v>36</v>
      </c>
      <c r="E3" s="5"/>
      <c r="F3" s="7" t="s">
        <v>38</v>
      </c>
      <c r="G3" s="5" t="s">
        <v>36</v>
      </c>
      <c r="H3" s="5" t="s">
        <v>36</v>
      </c>
      <c r="I3" s="5" t="s">
        <v>36</v>
      </c>
      <c r="J3" s="7" t="s">
        <v>38</v>
      </c>
      <c r="K3" s="7" t="s">
        <v>38</v>
      </c>
      <c r="L3" s="9" t="s">
        <v>47</v>
      </c>
      <c r="M3" s="5" t="s">
        <v>36</v>
      </c>
      <c r="N3" s="5" t="s">
        <v>36</v>
      </c>
      <c r="O3" s="7" t="s">
        <v>38</v>
      </c>
      <c r="P3" s="7" t="s">
        <v>48</v>
      </c>
      <c r="Q3" s="5" t="s">
        <v>36</v>
      </c>
      <c r="R3" s="5" t="s">
        <v>36</v>
      </c>
      <c r="S3" s="7" t="s">
        <v>38</v>
      </c>
      <c r="T3" s="7" t="s">
        <v>33</v>
      </c>
      <c r="U3" s="5" t="s">
        <v>36</v>
      </c>
      <c r="V3" s="7" t="s">
        <v>33</v>
      </c>
      <c r="W3" s="5"/>
      <c r="X3" s="5"/>
      <c r="Y3" s="5"/>
      <c r="Z3" s="7" t="s">
        <v>36</v>
      </c>
      <c r="AA3" s="8" t="s">
        <v>43</v>
      </c>
      <c r="AB3" s="7" t="s">
        <v>48</v>
      </c>
      <c r="AC3" s="7" t="s">
        <v>49</v>
      </c>
      <c r="AD3" s="7" t="s">
        <v>33</v>
      </c>
      <c r="AE3" s="7" t="s">
        <v>37</v>
      </c>
      <c r="AF3" s="5" t="n">
        <f aca="false">COUNTIF(D3:AE3,C3)</f>
        <v>10</v>
      </c>
    </row>
    <row r="4" customFormat="false" ht="123.35" hidden="false" customHeight="true" outlineLevel="0" collapsed="false">
      <c r="A4" s="0" t="s">
        <v>50</v>
      </c>
      <c r="B4" s="1" t="s">
        <v>51</v>
      </c>
      <c r="C4" s="4" t="s">
        <v>52</v>
      </c>
      <c r="D4" s="5" t="s">
        <v>52</v>
      </c>
      <c r="E4" s="5"/>
      <c r="F4" s="5" t="s">
        <v>52</v>
      </c>
      <c r="G4" s="5" t="s">
        <v>52</v>
      </c>
      <c r="H4" s="5" t="s">
        <v>52</v>
      </c>
      <c r="I4" s="5" t="s">
        <v>52</v>
      </c>
      <c r="J4" s="5" t="s">
        <v>52</v>
      </c>
      <c r="K4" s="5" t="s">
        <v>52</v>
      </c>
      <c r="L4" s="5" t="s">
        <v>52</v>
      </c>
      <c r="M4" s="5" t="s">
        <v>52</v>
      </c>
      <c r="N4" s="5" t="s">
        <v>52</v>
      </c>
      <c r="O4" s="7" t="s">
        <v>53</v>
      </c>
      <c r="P4" s="5" t="s">
        <v>52</v>
      </c>
      <c r="Q4" s="5" t="s">
        <v>52</v>
      </c>
      <c r="R4" s="5" t="s">
        <v>52</v>
      </c>
      <c r="S4" s="5" t="s">
        <v>52</v>
      </c>
      <c r="T4" s="5" t="s">
        <v>52</v>
      </c>
      <c r="U4" s="5" t="s">
        <v>52</v>
      </c>
      <c r="V4" s="5" t="s">
        <v>52</v>
      </c>
      <c r="W4" s="5"/>
      <c r="X4" s="5"/>
      <c r="Y4" s="5"/>
      <c r="Z4" s="5" t="s">
        <v>52</v>
      </c>
      <c r="AA4" s="8" t="s">
        <v>54</v>
      </c>
      <c r="AB4" s="5" t="s">
        <v>52</v>
      </c>
      <c r="AC4" s="5" t="s">
        <v>52</v>
      </c>
      <c r="AD4" s="5" t="s">
        <v>52</v>
      </c>
      <c r="AE4" s="5" t="s">
        <v>52</v>
      </c>
      <c r="AF4" s="5" t="n">
        <f aca="false">COUNTIF(D4:AE4,C4)</f>
        <v>22</v>
      </c>
    </row>
    <row r="5" customFormat="false" ht="123.35" hidden="false" customHeight="true" outlineLevel="0" collapsed="false">
      <c r="A5" s="0" t="s">
        <v>55</v>
      </c>
      <c r="B5" s="1" t="s">
        <v>56</v>
      </c>
      <c r="C5" s="4" t="s">
        <v>53</v>
      </c>
      <c r="D5" s="5" t="s">
        <v>53</v>
      </c>
      <c r="E5" s="5"/>
      <c r="F5" s="5" t="s">
        <v>53</v>
      </c>
      <c r="G5" s="7" t="s">
        <v>52</v>
      </c>
      <c r="H5" s="5" t="s">
        <v>53</v>
      </c>
      <c r="I5" s="5" t="s">
        <v>53</v>
      </c>
      <c r="J5" s="5" t="s">
        <v>53</v>
      </c>
      <c r="K5" s="5" t="s">
        <v>53</v>
      </c>
      <c r="L5" s="5" t="s">
        <v>53</v>
      </c>
      <c r="M5" s="5" t="s">
        <v>53</v>
      </c>
      <c r="N5" s="5" t="s">
        <v>53</v>
      </c>
      <c r="O5" s="5" t="s">
        <v>53</v>
      </c>
      <c r="P5" s="7" t="s">
        <v>52</v>
      </c>
      <c r="Q5" s="5" t="s">
        <v>53</v>
      </c>
      <c r="R5" s="7" t="s">
        <v>52</v>
      </c>
      <c r="S5" s="5" t="s">
        <v>53</v>
      </c>
      <c r="T5" s="5" t="s">
        <v>53</v>
      </c>
      <c r="U5" s="5" t="s">
        <v>53</v>
      </c>
      <c r="V5" s="5" t="s">
        <v>53</v>
      </c>
      <c r="W5" s="5"/>
      <c r="X5" s="5"/>
      <c r="Y5" s="5"/>
      <c r="Z5" s="5" t="s">
        <v>53</v>
      </c>
      <c r="AA5" s="8" t="s">
        <v>57</v>
      </c>
      <c r="AB5" s="7" t="s">
        <v>52</v>
      </c>
      <c r="AC5" s="5" t="s">
        <v>53</v>
      </c>
      <c r="AD5" s="5" t="s">
        <v>53</v>
      </c>
      <c r="AE5" s="5" t="s">
        <v>53</v>
      </c>
      <c r="AF5" s="5" t="n">
        <f aca="false">COUNTIF(D5:AE5,C5)</f>
        <v>19</v>
      </c>
    </row>
    <row r="6" customFormat="false" ht="123.35" hidden="false" customHeight="true" outlineLevel="0" collapsed="false">
      <c r="A6" s="0" t="s">
        <v>58</v>
      </c>
      <c r="B6" s="1" t="s">
        <v>59</v>
      </c>
      <c r="C6" s="4" t="s">
        <v>53</v>
      </c>
      <c r="D6" s="5" t="s">
        <v>53</v>
      </c>
      <c r="E6" s="5"/>
      <c r="F6" s="5" t="s">
        <v>53</v>
      </c>
      <c r="G6" s="5" t="s">
        <v>53</v>
      </c>
      <c r="H6" s="5" t="s">
        <v>53</v>
      </c>
      <c r="I6" s="7" t="s">
        <v>60</v>
      </c>
      <c r="J6" s="5" t="s">
        <v>61</v>
      </c>
      <c r="K6" s="5" t="s">
        <v>53</v>
      </c>
      <c r="L6" s="9" t="s">
        <v>62</v>
      </c>
      <c r="M6" s="5" t="s">
        <v>53</v>
      </c>
      <c r="N6" s="5" t="s">
        <v>53</v>
      </c>
      <c r="O6" s="5" t="s">
        <v>53</v>
      </c>
      <c r="P6" s="7" t="s">
        <v>52</v>
      </c>
      <c r="Q6" s="5" t="s">
        <v>53</v>
      </c>
      <c r="R6" s="5" t="s">
        <v>53</v>
      </c>
      <c r="S6" s="7" t="s">
        <v>63</v>
      </c>
      <c r="T6" s="10" t="s">
        <v>64</v>
      </c>
      <c r="U6" s="5" t="s">
        <v>53</v>
      </c>
      <c r="V6" s="5" t="s">
        <v>53</v>
      </c>
      <c r="W6" s="5"/>
      <c r="X6" s="5"/>
      <c r="Y6" s="5"/>
      <c r="Z6" s="5" t="s">
        <v>53</v>
      </c>
      <c r="AA6" s="7" t="s">
        <v>54</v>
      </c>
      <c r="AB6" s="7" t="s">
        <v>52</v>
      </c>
      <c r="AC6" s="7" t="s">
        <v>52</v>
      </c>
      <c r="AD6" s="5" t="s">
        <v>53</v>
      </c>
      <c r="AE6" s="7" t="s">
        <v>52</v>
      </c>
      <c r="AF6" s="5" t="n">
        <f aca="false">COUNTIF(D6:AE6,C6)</f>
        <v>14</v>
      </c>
    </row>
    <row r="7" customFormat="false" ht="123.35" hidden="false" customHeight="true" outlineLevel="0" collapsed="false">
      <c r="A7" s="0" t="s">
        <v>65</v>
      </c>
      <c r="B7" s="1" t="s">
        <v>66</v>
      </c>
      <c r="C7" s="4" t="s">
        <v>53</v>
      </c>
      <c r="D7" s="5" t="s">
        <v>53</v>
      </c>
      <c r="E7" s="5"/>
      <c r="F7" s="5" t="s">
        <v>53</v>
      </c>
      <c r="G7" s="7" t="s">
        <v>52</v>
      </c>
      <c r="H7" s="5" t="s">
        <v>53</v>
      </c>
      <c r="I7" s="5" t="s">
        <v>67</v>
      </c>
      <c r="J7" s="5" t="s">
        <v>61</v>
      </c>
      <c r="K7" s="5" t="s">
        <v>53</v>
      </c>
      <c r="L7" s="9" t="s">
        <v>68</v>
      </c>
      <c r="M7" s="5" t="s">
        <v>53</v>
      </c>
      <c r="N7" s="5" t="s">
        <v>53</v>
      </c>
      <c r="O7" s="5" t="s">
        <v>53</v>
      </c>
      <c r="P7" s="5" t="s">
        <v>53</v>
      </c>
      <c r="Q7" s="5" t="s">
        <v>53</v>
      </c>
      <c r="R7" s="5" t="s">
        <v>53</v>
      </c>
      <c r="S7" s="5" t="s">
        <v>53</v>
      </c>
      <c r="T7" s="10" t="s">
        <v>69</v>
      </c>
      <c r="U7" s="5" t="s">
        <v>53</v>
      </c>
      <c r="V7" s="5" t="s">
        <v>53</v>
      </c>
      <c r="W7" s="5"/>
      <c r="X7" s="5"/>
      <c r="Y7" s="5"/>
      <c r="Z7" s="5" t="s">
        <v>53</v>
      </c>
      <c r="AA7" s="10" t="s">
        <v>57</v>
      </c>
      <c r="AB7" s="5" t="s">
        <v>53</v>
      </c>
      <c r="AC7" s="5" t="s">
        <v>53</v>
      </c>
      <c r="AD7" s="5" t="s">
        <v>53</v>
      </c>
      <c r="AE7" s="5" t="s">
        <v>53</v>
      </c>
      <c r="AF7" s="5" t="n">
        <f aca="false">COUNTIF(D7:AE7,C7)</f>
        <v>18</v>
      </c>
    </row>
    <row r="8" customFormat="false" ht="123.35" hidden="false" customHeight="true" outlineLevel="0" collapsed="false">
      <c r="A8" s="0" t="s">
        <v>70</v>
      </c>
      <c r="B8" s="1" t="s">
        <v>71</v>
      </c>
      <c r="C8" s="4" t="s">
        <v>72</v>
      </c>
      <c r="D8" s="5" t="s">
        <v>72</v>
      </c>
      <c r="E8" s="5"/>
      <c r="F8" s="5" t="s">
        <v>72</v>
      </c>
      <c r="G8" s="9" t="s">
        <v>73</v>
      </c>
      <c r="H8" s="5" t="s">
        <v>72</v>
      </c>
      <c r="I8" s="7" t="s">
        <v>74</v>
      </c>
      <c r="J8" s="5" t="s">
        <v>75</v>
      </c>
      <c r="K8" s="9" t="s">
        <v>76</v>
      </c>
      <c r="L8" s="7" t="s">
        <v>77</v>
      </c>
      <c r="M8" s="5" t="s">
        <v>72</v>
      </c>
      <c r="N8" s="5" t="s">
        <v>72</v>
      </c>
      <c r="O8" s="5" t="s">
        <v>72</v>
      </c>
      <c r="P8" s="5" t="s">
        <v>72</v>
      </c>
      <c r="Q8" s="5" t="s">
        <v>72</v>
      </c>
      <c r="R8" s="5" t="s">
        <v>72</v>
      </c>
      <c r="S8" s="5" t="s">
        <v>72</v>
      </c>
      <c r="T8" s="5" t="s">
        <v>72</v>
      </c>
      <c r="U8" s="5" t="s">
        <v>72</v>
      </c>
      <c r="V8" s="5" t="s">
        <v>72</v>
      </c>
      <c r="W8" s="5"/>
      <c r="X8" s="5"/>
      <c r="Y8" s="5"/>
      <c r="Z8" s="5" t="s">
        <v>72</v>
      </c>
      <c r="AA8" s="8" t="s">
        <v>78</v>
      </c>
      <c r="AB8" s="5" t="s">
        <v>72</v>
      </c>
      <c r="AC8" s="5" t="s">
        <v>72</v>
      </c>
      <c r="AD8" s="5" t="s">
        <v>72</v>
      </c>
      <c r="AE8" s="5" t="s">
        <v>72</v>
      </c>
      <c r="AF8" s="5" t="n">
        <f aca="false">COUNTIF(D8:AE8,C8)</f>
        <v>18</v>
      </c>
    </row>
    <row r="9" customFormat="false" ht="123.35" hidden="false" customHeight="true" outlineLevel="0" collapsed="false">
      <c r="A9" s="0" t="s">
        <v>79</v>
      </c>
      <c r="B9" s="1" t="s">
        <v>80</v>
      </c>
      <c r="C9" s="4" t="s">
        <v>49</v>
      </c>
      <c r="D9" s="5" t="s">
        <v>49</v>
      </c>
      <c r="E9" s="5"/>
      <c r="F9" s="7" t="s">
        <v>36</v>
      </c>
      <c r="G9" s="5" t="s">
        <v>81</v>
      </c>
      <c r="H9" s="7" t="s">
        <v>82</v>
      </c>
      <c r="I9" s="7" t="s">
        <v>33</v>
      </c>
      <c r="J9" s="5" t="n">
        <v>1</v>
      </c>
      <c r="K9" s="7" t="s">
        <v>38</v>
      </c>
      <c r="L9" s="5" t="s">
        <v>49</v>
      </c>
      <c r="M9" s="5" t="s">
        <v>49</v>
      </c>
      <c r="N9" s="7" t="s">
        <v>83</v>
      </c>
      <c r="O9" s="7" t="s">
        <v>36</v>
      </c>
      <c r="P9" s="5" t="s">
        <v>49</v>
      </c>
      <c r="Q9" s="5" t="s">
        <v>49</v>
      </c>
      <c r="R9" s="5" t="s">
        <v>49</v>
      </c>
      <c r="S9" s="7" t="s">
        <v>37</v>
      </c>
      <c r="T9" s="7" t="s">
        <v>37</v>
      </c>
      <c r="U9" s="5" t="s">
        <v>49</v>
      </c>
      <c r="V9" s="7" t="s">
        <v>36</v>
      </c>
      <c r="W9" s="5"/>
      <c r="X9" s="5"/>
      <c r="Y9" s="5"/>
      <c r="Z9" s="5" t="s">
        <v>49</v>
      </c>
      <c r="AA9" s="7" t="s">
        <v>84</v>
      </c>
      <c r="AB9" s="7" t="s">
        <v>36</v>
      </c>
      <c r="AC9" s="5" t="s">
        <v>49</v>
      </c>
      <c r="AD9" s="5" t="s">
        <v>49</v>
      </c>
      <c r="AE9" s="5" t="s">
        <v>49</v>
      </c>
      <c r="AF9" s="5" t="n">
        <f aca="false">COUNTIF(D9:AE9,C9)</f>
        <v>11</v>
      </c>
    </row>
    <row r="10" customFormat="false" ht="123.35" hidden="false" customHeight="true" outlineLevel="0" collapsed="false">
      <c r="A10" s="0" t="s">
        <v>85</v>
      </c>
      <c r="B10" s="1" t="s">
        <v>86</v>
      </c>
      <c r="C10" s="4" t="s">
        <v>52</v>
      </c>
      <c r="D10" s="5" t="s">
        <v>52</v>
      </c>
      <c r="E10" s="5"/>
      <c r="F10" s="5" t="s">
        <v>52</v>
      </c>
      <c r="G10" s="5" t="s">
        <v>87</v>
      </c>
      <c r="H10" s="5" t="s">
        <v>60</v>
      </c>
      <c r="I10" s="5" t="s">
        <v>60</v>
      </c>
      <c r="J10" s="5" t="s">
        <v>88</v>
      </c>
      <c r="K10" s="5" t="s">
        <v>52</v>
      </c>
      <c r="L10" s="7" t="s">
        <v>60</v>
      </c>
      <c r="M10" s="5" t="s">
        <v>52</v>
      </c>
      <c r="N10" s="5" t="s">
        <v>52</v>
      </c>
      <c r="O10" s="7" t="s">
        <v>53</v>
      </c>
      <c r="P10" s="5" t="s">
        <v>52</v>
      </c>
      <c r="Q10" s="5" t="s">
        <v>52</v>
      </c>
      <c r="R10" s="5" t="s">
        <v>52</v>
      </c>
      <c r="S10" s="5" t="s">
        <v>52</v>
      </c>
      <c r="T10" s="5" t="s">
        <v>52</v>
      </c>
      <c r="U10" s="5" t="s">
        <v>52</v>
      </c>
      <c r="V10" s="5" t="s">
        <v>52</v>
      </c>
      <c r="W10" s="5"/>
      <c r="X10" s="5"/>
      <c r="Y10" s="5"/>
      <c r="Z10" s="7" t="s">
        <v>53</v>
      </c>
      <c r="AA10" s="8" t="s">
        <v>54</v>
      </c>
      <c r="AB10" s="7" t="s">
        <v>53</v>
      </c>
      <c r="AC10" s="5" t="s">
        <v>52</v>
      </c>
      <c r="AD10" s="5" t="s">
        <v>52</v>
      </c>
      <c r="AE10" s="5" t="s">
        <v>52</v>
      </c>
      <c r="AF10" s="5" t="n">
        <f aca="false">COUNTIF(D10:AE10,C10)</f>
        <v>15</v>
      </c>
    </row>
    <row r="11" customFormat="false" ht="123.35" hidden="false" customHeight="true" outlineLevel="0" collapsed="false">
      <c r="A11" s="0" t="s">
        <v>89</v>
      </c>
      <c r="B11" s="1" t="s">
        <v>90</v>
      </c>
      <c r="C11" s="4" t="s">
        <v>91</v>
      </c>
      <c r="D11" s="5" t="s">
        <v>91</v>
      </c>
      <c r="E11" s="5"/>
      <c r="F11" s="5" t="s">
        <v>91</v>
      </c>
      <c r="G11" s="5" t="s">
        <v>92</v>
      </c>
      <c r="H11" s="5" t="n">
        <v>30</v>
      </c>
      <c r="I11" s="5" t="n">
        <v>30</v>
      </c>
      <c r="J11" s="5" t="n">
        <v>30</v>
      </c>
      <c r="K11" s="5" t="s">
        <v>91</v>
      </c>
      <c r="L11" s="5" t="s">
        <v>91</v>
      </c>
      <c r="M11" s="5" t="s">
        <v>91</v>
      </c>
      <c r="N11" s="5" t="s">
        <v>91</v>
      </c>
      <c r="O11" s="7" t="s">
        <v>93</v>
      </c>
      <c r="P11" s="5" t="s">
        <v>91</v>
      </c>
      <c r="Q11" s="5" t="s">
        <v>91</v>
      </c>
      <c r="R11" s="5" t="s">
        <v>91</v>
      </c>
      <c r="S11" s="5" t="s">
        <v>91</v>
      </c>
      <c r="T11" s="5" t="s">
        <v>91</v>
      </c>
      <c r="U11" s="5" t="s">
        <v>91</v>
      </c>
      <c r="V11" s="5" t="s">
        <v>91</v>
      </c>
      <c r="W11" s="5"/>
      <c r="X11" s="5"/>
      <c r="Y11" s="5"/>
      <c r="Z11" s="5" t="s">
        <v>91</v>
      </c>
      <c r="AA11" s="8" t="s">
        <v>94</v>
      </c>
      <c r="AB11" s="5" t="s">
        <v>91</v>
      </c>
      <c r="AC11" s="5" t="s">
        <v>91</v>
      </c>
      <c r="AD11" s="5" t="s">
        <v>91</v>
      </c>
      <c r="AE11" s="5" t="s">
        <v>91</v>
      </c>
      <c r="AF11" s="5" t="n">
        <f aca="false">COUNTIF(D11:AE11,C11)</f>
        <v>18</v>
      </c>
    </row>
    <row r="12" customFormat="false" ht="123.35" hidden="false" customHeight="true" outlineLevel="0" collapsed="false">
      <c r="A12" s="0" t="s">
        <v>95</v>
      </c>
      <c r="B12" s="1" t="s">
        <v>96</v>
      </c>
      <c r="C12" s="4" t="s">
        <v>97</v>
      </c>
      <c r="D12" s="5" t="s">
        <v>97</v>
      </c>
      <c r="E12" s="5"/>
      <c r="F12" s="5" t="s">
        <v>97</v>
      </c>
      <c r="G12" s="5" t="s">
        <v>98</v>
      </c>
      <c r="H12" s="5" t="n">
        <v>120</v>
      </c>
      <c r="I12" s="5" t="n">
        <v>120</v>
      </c>
      <c r="J12" s="5" t="n">
        <v>120</v>
      </c>
      <c r="K12" s="5" t="s">
        <v>97</v>
      </c>
      <c r="L12" s="11" t="s">
        <v>99</v>
      </c>
      <c r="M12" s="5" t="s">
        <v>97</v>
      </c>
      <c r="N12" s="5" t="s">
        <v>97</v>
      </c>
      <c r="O12" s="7" t="s">
        <v>100</v>
      </c>
      <c r="P12" s="5" t="s">
        <v>97</v>
      </c>
      <c r="Q12" s="5" t="s">
        <v>97</v>
      </c>
      <c r="R12" s="5" t="s">
        <v>97</v>
      </c>
      <c r="S12" s="5" t="s">
        <v>97</v>
      </c>
      <c r="T12" s="5" t="s">
        <v>97</v>
      </c>
      <c r="U12" s="5" t="s">
        <v>97</v>
      </c>
      <c r="V12" s="5" t="s">
        <v>97</v>
      </c>
      <c r="W12" s="5"/>
      <c r="X12" s="5"/>
      <c r="Y12" s="5"/>
      <c r="Z12" s="5" t="s">
        <v>97</v>
      </c>
      <c r="AA12" s="8" t="s">
        <v>101</v>
      </c>
      <c r="AB12" s="5" t="s">
        <v>97</v>
      </c>
      <c r="AC12" s="5" t="s">
        <v>97</v>
      </c>
      <c r="AD12" s="5" t="s">
        <v>97</v>
      </c>
      <c r="AE12" s="5" t="s">
        <v>97</v>
      </c>
      <c r="AF12" s="5" t="n">
        <f aca="false">COUNTIF(D12:AE12,C12)</f>
        <v>17</v>
      </c>
    </row>
    <row r="13" customFormat="false" ht="123.35" hidden="false" customHeight="true" outlineLevel="0" collapsed="false">
      <c r="A13" s="0" t="s">
        <v>102</v>
      </c>
      <c r="B13" s="1" t="s">
        <v>103</v>
      </c>
      <c r="C13" s="4" t="s">
        <v>104</v>
      </c>
      <c r="D13" s="5" t="s">
        <v>104</v>
      </c>
      <c r="E13" s="5"/>
      <c r="F13" s="5" t="s">
        <v>35</v>
      </c>
      <c r="G13" s="5" t="s">
        <v>105</v>
      </c>
      <c r="H13" s="5" t="n">
        <v>10</v>
      </c>
      <c r="I13" s="5" t="n">
        <v>16</v>
      </c>
      <c r="J13" s="5" t="n">
        <v>16</v>
      </c>
      <c r="K13" s="5" t="s">
        <v>106</v>
      </c>
      <c r="L13" s="9" t="s">
        <v>107</v>
      </c>
      <c r="M13" s="5" t="s">
        <v>104</v>
      </c>
      <c r="N13" s="7" t="s">
        <v>108</v>
      </c>
      <c r="O13" s="5" t="s">
        <v>104</v>
      </c>
      <c r="P13" s="5" t="s">
        <v>104</v>
      </c>
      <c r="Q13" s="5" t="s">
        <v>104</v>
      </c>
      <c r="R13" s="5" t="s">
        <v>104</v>
      </c>
      <c r="S13" s="7" t="s">
        <v>109</v>
      </c>
      <c r="T13" s="7" t="s">
        <v>109</v>
      </c>
      <c r="U13" s="7" t="s">
        <v>48</v>
      </c>
      <c r="V13" s="7" t="s">
        <v>110</v>
      </c>
      <c r="W13" s="7"/>
      <c r="X13" s="7"/>
      <c r="Y13" s="7"/>
      <c r="Z13" s="7" t="s">
        <v>48</v>
      </c>
      <c r="AA13" s="8" t="s">
        <v>111</v>
      </c>
      <c r="AB13" s="7" t="s">
        <v>109</v>
      </c>
      <c r="AC13" s="7" t="s">
        <v>112</v>
      </c>
      <c r="AD13" s="7" t="s">
        <v>109</v>
      </c>
      <c r="AE13" s="7" t="s">
        <v>113</v>
      </c>
      <c r="AF13" s="5" t="n">
        <f aca="false">COUNTIF(D13:AE13,C13)</f>
        <v>6</v>
      </c>
    </row>
    <row r="14" customFormat="false" ht="123.35" hidden="false" customHeight="true" outlineLevel="0" collapsed="false">
      <c r="A14" s="0" t="s">
        <v>114</v>
      </c>
      <c r="B14" s="1" t="s">
        <v>115</v>
      </c>
      <c r="C14" s="4" t="s">
        <v>116</v>
      </c>
      <c r="D14" s="7" t="s">
        <v>117</v>
      </c>
      <c r="E14" s="7"/>
      <c r="F14" s="7" t="s">
        <v>118</v>
      </c>
      <c r="G14" s="9" t="s">
        <v>119</v>
      </c>
      <c r="H14" s="7" t="s">
        <v>120</v>
      </c>
      <c r="I14" s="9" t="s">
        <v>121</v>
      </c>
      <c r="J14" s="7" t="s">
        <v>122</v>
      </c>
      <c r="K14" s="7" t="s">
        <v>123</v>
      </c>
      <c r="L14" s="7" t="s">
        <v>124</v>
      </c>
      <c r="M14" s="5" t="s">
        <v>116</v>
      </c>
      <c r="N14" s="7" t="s">
        <v>125</v>
      </c>
      <c r="O14" s="7" t="s">
        <v>126</v>
      </c>
      <c r="P14" s="7" t="s">
        <v>127</v>
      </c>
      <c r="Q14" s="7" t="s">
        <v>128</v>
      </c>
      <c r="R14" s="9" t="s">
        <v>129</v>
      </c>
      <c r="S14" s="7" t="s">
        <v>130</v>
      </c>
      <c r="T14" s="7" t="s">
        <v>131</v>
      </c>
      <c r="U14" s="7" t="s">
        <v>132</v>
      </c>
      <c r="V14" s="7" t="s">
        <v>133</v>
      </c>
      <c r="W14" s="6" t="s">
        <v>134</v>
      </c>
      <c r="X14" s="5" t="s">
        <v>135</v>
      </c>
      <c r="Y14" s="5" t="s">
        <v>136</v>
      </c>
      <c r="Z14" s="7" t="s">
        <v>137</v>
      </c>
      <c r="AA14" s="7" t="s">
        <v>138</v>
      </c>
      <c r="AB14" s="7" t="s">
        <v>139</v>
      </c>
      <c r="AC14" s="7" t="s">
        <v>140</v>
      </c>
      <c r="AD14" s="7" t="s">
        <v>141</v>
      </c>
      <c r="AE14" s="7" t="s">
        <v>142</v>
      </c>
      <c r="AF14" s="5" t="n">
        <f aca="false">COUNTIF(D14:AE14,C14)</f>
        <v>1</v>
      </c>
    </row>
    <row r="15" customFormat="false" ht="123.35" hidden="false" customHeight="true" outlineLevel="0" collapsed="false">
      <c r="A15" s="0" t="s">
        <v>143</v>
      </c>
      <c r="B15" s="1" t="s">
        <v>144</v>
      </c>
      <c r="C15" s="4" t="s">
        <v>145</v>
      </c>
      <c r="D15" s="5" t="s">
        <v>145</v>
      </c>
      <c r="E15" s="5"/>
      <c r="F15" s="5" t="s">
        <v>145</v>
      </c>
      <c r="G15" s="12" t="s">
        <v>146</v>
      </c>
      <c r="H15" s="12" t="s">
        <v>147</v>
      </c>
      <c r="I15" s="5" t="s">
        <v>145</v>
      </c>
      <c r="J15" s="7" t="s">
        <v>148</v>
      </c>
      <c r="K15" s="13" t="s">
        <v>149</v>
      </c>
      <c r="L15" s="5" t="s">
        <v>145</v>
      </c>
      <c r="M15" s="5" t="s">
        <v>145</v>
      </c>
      <c r="N15" s="5" t="s">
        <v>145</v>
      </c>
      <c r="O15" s="7" t="s">
        <v>150</v>
      </c>
      <c r="P15" s="7" t="s">
        <v>151</v>
      </c>
      <c r="Q15" s="5" t="s">
        <v>145</v>
      </c>
      <c r="R15" s="10" t="s">
        <v>145</v>
      </c>
      <c r="S15" s="5" t="s">
        <v>145</v>
      </c>
      <c r="T15" s="5" t="s">
        <v>145</v>
      </c>
      <c r="U15" s="10" t="s">
        <v>152</v>
      </c>
      <c r="V15" s="10" t="s">
        <v>153</v>
      </c>
      <c r="W15" s="5"/>
      <c r="X15" s="5"/>
      <c r="Y15" s="5"/>
      <c r="Z15" s="7" t="s">
        <v>154</v>
      </c>
      <c r="AA15" s="8" t="s">
        <v>155</v>
      </c>
      <c r="AB15" s="7" t="s">
        <v>156</v>
      </c>
      <c r="AC15" s="5" t="s">
        <v>145</v>
      </c>
      <c r="AD15" s="5" t="s">
        <v>145</v>
      </c>
      <c r="AE15" s="5" t="s">
        <v>145</v>
      </c>
      <c r="AF15" s="5" t="n">
        <f aca="false">COUNTIF(D15:AE15,C15)</f>
        <v>13</v>
      </c>
    </row>
    <row r="16" customFormat="false" ht="123.35" hidden="false" customHeight="true" outlineLevel="0" collapsed="false">
      <c r="A16" s="0" t="s">
        <v>157</v>
      </c>
      <c r="B16" s="1" t="s">
        <v>158</v>
      </c>
      <c r="C16" s="4" t="s">
        <v>159</v>
      </c>
      <c r="D16" s="5" t="s">
        <v>159</v>
      </c>
      <c r="E16" s="5"/>
      <c r="F16" s="5" t="s">
        <v>159</v>
      </c>
      <c r="G16" s="7" t="s">
        <v>160</v>
      </c>
      <c r="H16" s="12" t="s">
        <v>161</v>
      </c>
      <c r="I16" s="12" t="s">
        <v>161</v>
      </c>
      <c r="J16" s="12" t="s">
        <v>161</v>
      </c>
      <c r="K16" s="5" t="s">
        <v>159</v>
      </c>
      <c r="L16" s="7" t="s">
        <v>162</v>
      </c>
      <c r="M16" s="5" t="s">
        <v>159</v>
      </c>
      <c r="N16" s="5" t="s">
        <v>159</v>
      </c>
      <c r="O16" s="7" t="s">
        <v>163</v>
      </c>
      <c r="P16" s="5" t="s">
        <v>159</v>
      </c>
      <c r="Q16" s="5" t="s">
        <v>159</v>
      </c>
      <c r="R16" s="5" t="s">
        <v>159</v>
      </c>
      <c r="S16" s="5" t="s">
        <v>159</v>
      </c>
      <c r="T16" s="5" t="s">
        <v>159</v>
      </c>
      <c r="U16" s="5" t="s">
        <v>159</v>
      </c>
      <c r="V16" s="5" t="s">
        <v>159</v>
      </c>
      <c r="W16" s="5"/>
      <c r="X16" s="5"/>
      <c r="Y16" s="5"/>
      <c r="Z16" s="5" t="s">
        <v>159</v>
      </c>
      <c r="AA16" s="8" t="s">
        <v>164</v>
      </c>
      <c r="AB16" s="5" t="s">
        <v>159</v>
      </c>
      <c r="AC16" s="5" t="s">
        <v>159</v>
      </c>
      <c r="AD16" s="5" t="s">
        <v>159</v>
      </c>
      <c r="AE16" s="5" t="s">
        <v>159</v>
      </c>
      <c r="AF16" s="5" t="n">
        <f aca="false">COUNTIF(D16:AE16,C16)</f>
        <v>17</v>
      </c>
    </row>
    <row r="17" customFormat="false" ht="123.35" hidden="false" customHeight="true" outlineLevel="0" collapsed="false">
      <c r="A17" s="0" t="s">
        <v>165</v>
      </c>
      <c r="B17" s="1" t="s">
        <v>166</v>
      </c>
      <c r="C17" s="4" t="s">
        <v>167</v>
      </c>
      <c r="D17" s="5" t="s">
        <v>167</v>
      </c>
      <c r="E17" s="5"/>
      <c r="F17" s="5" t="s">
        <v>167</v>
      </c>
      <c r="G17" s="12" t="s">
        <v>168</v>
      </c>
      <c r="H17" s="12" t="s">
        <v>169</v>
      </c>
      <c r="I17" s="7" t="s">
        <v>170</v>
      </c>
      <c r="J17" s="12" t="s">
        <v>169</v>
      </c>
      <c r="K17" s="6" t="s">
        <v>171</v>
      </c>
      <c r="L17" s="9" t="s">
        <v>172</v>
      </c>
      <c r="M17" s="5" t="s">
        <v>167</v>
      </c>
      <c r="N17" s="5" t="s">
        <v>167</v>
      </c>
      <c r="O17" s="5" t="s">
        <v>167</v>
      </c>
      <c r="P17" s="5" t="s">
        <v>167</v>
      </c>
      <c r="Q17" s="5" t="s">
        <v>167</v>
      </c>
      <c r="R17" s="5" t="s">
        <v>167</v>
      </c>
      <c r="S17" s="5" t="s">
        <v>167</v>
      </c>
      <c r="T17" s="5" t="s">
        <v>167</v>
      </c>
      <c r="U17" s="5" t="s">
        <v>167</v>
      </c>
      <c r="V17" s="5" t="s">
        <v>167</v>
      </c>
      <c r="W17" s="5"/>
      <c r="X17" s="5"/>
      <c r="Y17" s="5"/>
      <c r="Z17" s="5" t="s">
        <v>167</v>
      </c>
      <c r="AA17" s="8" t="s">
        <v>173</v>
      </c>
      <c r="AB17" s="5" t="s">
        <v>167</v>
      </c>
      <c r="AC17" s="5" t="s">
        <v>167</v>
      </c>
      <c r="AD17" s="5" t="s">
        <v>167</v>
      </c>
      <c r="AE17" s="5" t="s">
        <v>167</v>
      </c>
      <c r="AF17" s="5" t="n">
        <f aca="false">COUNTIF(D17:AE17,C17)</f>
        <v>17</v>
      </c>
    </row>
    <row r="18" customFormat="false" ht="123.35" hidden="false" customHeight="true" outlineLevel="0" collapsed="false">
      <c r="A18" s="0" t="s">
        <v>174</v>
      </c>
      <c r="B18" s="1" t="s">
        <v>175</v>
      </c>
      <c r="C18" s="4" t="s">
        <v>176</v>
      </c>
      <c r="D18" s="5" t="s">
        <v>176</v>
      </c>
      <c r="E18" s="5"/>
      <c r="F18" s="5" t="s">
        <v>176</v>
      </c>
      <c r="G18" s="12" t="s">
        <v>177</v>
      </c>
      <c r="H18" s="12" t="s">
        <v>178</v>
      </c>
      <c r="I18" s="5" t="s">
        <v>179</v>
      </c>
      <c r="J18" s="5" t="s">
        <v>178</v>
      </c>
      <c r="K18" s="5" t="s">
        <v>180</v>
      </c>
      <c r="L18" s="5" t="s">
        <v>176</v>
      </c>
      <c r="M18" s="5" t="s">
        <v>176</v>
      </c>
      <c r="N18" s="5" t="s">
        <v>176</v>
      </c>
      <c r="O18" s="5" t="s">
        <v>176</v>
      </c>
      <c r="P18" s="5" t="s">
        <v>176</v>
      </c>
      <c r="Q18" s="5" t="s">
        <v>176</v>
      </c>
      <c r="R18" s="5" t="s">
        <v>176</v>
      </c>
      <c r="S18" s="5" t="s">
        <v>176</v>
      </c>
      <c r="T18" s="5" t="s">
        <v>176</v>
      </c>
      <c r="U18" s="5" t="s">
        <v>176</v>
      </c>
      <c r="V18" s="5" t="s">
        <v>176</v>
      </c>
      <c r="W18" s="5"/>
      <c r="X18" s="5"/>
      <c r="Y18" s="5"/>
      <c r="Z18" s="5" t="s">
        <v>176</v>
      </c>
      <c r="AA18" s="8" t="s">
        <v>181</v>
      </c>
      <c r="AB18" s="5" t="s">
        <v>176</v>
      </c>
      <c r="AC18" s="5" t="s">
        <v>176</v>
      </c>
      <c r="AD18" s="5" t="s">
        <v>176</v>
      </c>
      <c r="AE18" s="5" t="s">
        <v>176</v>
      </c>
      <c r="AF18" s="5" t="n">
        <f aca="false">COUNTIF(D18:AE18,C18)</f>
        <v>18</v>
      </c>
    </row>
    <row r="20" customFormat="false" ht="12.85" hidden="false" customHeight="true" outlineLevel="0" collapsed="false">
      <c r="A20" s="0" t="s">
        <v>182</v>
      </c>
      <c r="D20" s="0" t="s">
        <v>183</v>
      </c>
      <c r="F20" s="0" t="s">
        <v>184</v>
      </c>
      <c r="G20" s="0" t="s">
        <v>185</v>
      </c>
      <c r="H20" s="0" t="s">
        <v>186</v>
      </c>
      <c r="J20" s="5"/>
      <c r="L20" s="14" t="s">
        <v>187</v>
      </c>
      <c r="O20" s="0" t="s">
        <v>188</v>
      </c>
      <c r="P20" s="0" t="s">
        <v>189</v>
      </c>
    </row>
    <row r="21" customFormat="false" ht="12.85" hidden="false" customHeight="true" outlineLevel="0" collapsed="false">
      <c r="D21" s="0" t="s">
        <v>190</v>
      </c>
      <c r="H21" s="0" t="s">
        <v>191</v>
      </c>
    </row>
    <row r="22" customFormat="false" ht="12.85" hidden="false" customHeight="true" outlineLevel="0" collapsed="false">
      <c r="A22" s="0" t="n">
        <f aca="false">12/3+4*2</f>
        <v>12</v>
      </c>
    </row>
    <row r="23" customFormat="false" ht="12.85" hidden="false" customHeight="true" outlineLevel="0" collapsed="false">
      <c r="D23" s="0" t="n">
        <v>16</v>
      </c>
      <c r="F23" s="0" t="n">
        <v>13</v>
      </c>
      <c r="G23" s="0" t="n">
        <v>3</v>
      </c>
      <c r="H23" s="0" t="n">
        <v>7</v>
      </c>
      <c r="I23" s="0" t="n">
        <v>5</v>
      </c>
      <c r="J23" s="0" t="n">
        <v>3</v>
      </c>
      <c r="K23" s="0" t="n">
        <v>9</v>
      </c>
      <c r="L23" s="0" t="n">
        <v>7</v>
      </c>
      <c r="M23" s="0" t="n">
        <v>17</v>
      </c>
      <c r="N23" s="0" t="n">
        <v>14</v>
      </c>
      <c r="O23" s="0" t="n">
        <v>7</v>
      </c>
      <c r="P23" s="0" t="n">
        <v>11</v>
      </c>
      <c r="Q23" s="0" t="n">
        <v>16</v>
      </c>
      <c r="R23" s="0" t="n">
        <v>15</v>
      </c>
      <c r="S23" s="0" t="n">
        <v>12</v>
      </c>
      <c r="T23" s="0" t="n">
        <v>10</v>
      </c>
      <c r="U23" s="0" t="n">
        <v>13</v>
      </c>
      <c r="V23" s="0" t="n">
        <v>11</v>
      </c>
      <c r="Z23" s="0" t="n">
        <v>12</v>
      </c>
      <c r="AA23" s="0" t="n">
        <v>0</v>
      </c>
      <c r="AB23" s="0" t="n">
        <v>8</v>
      </c>
      <c r="AC23" s="0" t="n">
        <v>13</v>
      </c>
      <c r="AD23" s="0" t="n">
        <v>14</v>
      </c>
      <c r="AE23" s="0" t="n">
        <v>13</v>
      </c>
    </row>
    <row r="37" customFormat="false" ht="12.85" hidden="false" customHeight="true" outlineLevel="0" collapsed="false">
      <c r="B37" s="0"/>
    </row>
    <row r="38" customFormat="false" ht="12.85" hidden="false" customHeight="true" outlineLevel="0" collapsed="false">
      <c r="B38" s="0"/>
    </row>
    <row r="39" customFormat="false" ht="12.85" hidden="false" customHeight="true" outlineLevel="0" collapsed="false">
      <c r="B39" s="5" t="s">
        <v>192</v>
      </c>
      <c r="C39" s="5" t="s">
        <v>193</v>
      </c>
      <c r="D39" s="5" t="s">
        <v>194</v>
      </c>
    </row>
    <row r="40" customFormat="false" ht="12.85" hidden="false" customHeight="true" outlineLevel="0" collapsed="false">
      <c r="B40" s="0" t="s">
        <v>12</v>
      </c>
      <c r="C40" s="0" t="n">
        <v>17</v>
      </c>
      <c r="D40" s="0" t="n">
        <v>5.6</v>
      </c>
    </row>
    <row r="41" customFormat="false" ht="12.85" hidden="false" customHeight="true" outlineLevel="0" collapsed="false">
      <c r="B41" s="0" t="s">
        <v>16</v>
      </c>
      <c r="C41" s="0" t="n">
        <v>16</v>
      </c>
      <c r="D41" s="0" t="n">
        <v>2.5</v>
      </c>
      <c r="F41" s="0" t="s">
        <v>195</v>
      </c>
    </row>
    <row r="42" customFormat="false" ht="12.85" hidden="false" customHeight="true" outlineLevel="0" collapsed="false">
      <c r="B42" s="0" t="s">
        <v>3</v>
      </c>
      <c r="C42" s="0" t="n">
        <v>16</v>
      </c>
      <c r="D42" s="0" t="n">
        <v>5.4</v>
      </c>
    </row>
    <row r="43" customFormat="false" ht="12.85" hidden="false" customHeight="true" outlineLevel="0" collapsed="false">
      <c r="B43" s="0" t="s">
        <v>17</v>
      </c>
      <c r="C43" s="0" t="n">
        <v>15</v>
      </c>
      <c r="D43" s="0" t="n">
        <v>1.3</v>
      </c>
      <c r="F43" s="0" t="s">
        <v>195</v>
      </c>
    </row>
    <row r="44" customFormat="false" ht="12.85" hidden="false" customHeight="true" outlineLevel="0" collapsed="false">
      <c r="B44" s="0" t="s">
        <v>13</v>
      </c>
      <c r="C44" s="0" t="n">
        <v>14</v>
      </c>
      <c r="D44" s="0" t="n">
        <v>6</v>
      </c>
    </row>
    <row r="45" customFormat="false" ht="12.85" hidden="false" customHeight="true" outlineLevel="0" collapsed="false">
      <c r="B45" s="0" t="s">
        <v>29</v>
      </c>
      <c r="C45" s="0" t="n">
        <v>14</v>
      </c>
      <c r="D45" s="0" t="n">
        <v>7.5</v>
      </c>
    </row>
    <row r="46" customFormat="false" ht="12.85" hidden="false" customHeight="true" outlineLevel="0" collapsed="false">
      <c r="B46" s="0" t="s">
        <v>5</v>
      </c>
      <c r="C46" s="0" t="n">
        <v>13</v>
      </c>
      <c r="D46" s="0" t="n">
        <v>4.4</v>
      </c>
    </row>
    <row r="47" customFormat="false" ht="12.85" hidden="false" customHeight="true" outlineLevel="0" collapsed="false">
      <c r="B47" s="0" t="s">
        <v>30</v>
      </c>
      <c r="C47" s="0" t="n">
        <v>13</v>
      </c>
      <c r="D47" s="0" t="n">
        <v>4.5</v>
      </c>
    </row>
    <row r="48" customFormat="false" ht="12.85" hidden="false" customHeight="true" outlineLevel="0" collapsed="false">
      <c r="B48" s="0" t="s">
        <v>20</v>
      </c>
      <c r="C48" s="0" t="n">
        <v>13</v>
      </c>
      <c r="D48" s="0" t="n">
        <v>4.9</v>
      </c>
    </row>
    <row r="49" customFormat="false" ht="12.85" hidden="false" customHeight="true" outlineLevel="0" collapsed="false">
      <c r="B49" s="0" t="s">
        <v>28</v>
      </c>
      <c r="C49" s="0" t="n">
        <v>13</v>
      </c>
      <c r="D49" s="0" t="n">
        <v>5</v>
      </c>
    </row>
    <row r="50" customFormat="false" ht="12.85" hidden="false" customHeight="true" outlineLevel="0" collapsed="false">
      <c r="B50" s="0" t="s">
        <v>25</v>
      </c>
      <c r="C50" s="0" t="n">
        <v>12</v>
      </c>
      <c r="D50" s="0" t="n">
        <v>1.4</v>
      </c>
    </row>
    <row r="51" customFormat="false" ht="12.85" hidden="false" customHeight="true" outlineLevel="0" collapsed="false">
      <c r="B51" s="0" t="s">
        <v>18</v>
      </c>
      <c r="C51" s="0" t="n">
        <v>12</v>
      </c>
      <c r="D51" s="0" t="n">
        <v>2.6</v>
      </c>
    </row>
    <row r="52" customFormat="false" ht="12.85" hidden="false" customHeight="true" outlineLevel="0" collapsed="false">
      <c r="B52" s="0" t="s">
        <v>21</v>
      </c>
      <c r="C52" s="0" t="n">
        <v>11</v>
      </c>
      <c r="D52" s="0" t="n">
        <v>0.522</v>
      </c>
    </row>
    <row r="53" customFormat="false" ht="12.85" hidden="false" customHeight="true" outlineLevel="0" collapsed="false">
      <c r="B53" s="0" t="s">
        <v>15</v>
      </c>
      <c r="C53" s="0" t="n">
        <v>11</v>
      </c>
      <c r="D53" s="0" t="n">
        <v>0.815</v>
      </c>
    </row>
    <row r="54" customFormat="false" ht="12.85" hidden="false" customHeight="true" outlineLevel="0" collapsed="false">
      <c r="B54" s="0" t="s">
        <v>19</v>
      </c>
      <c r="C54" s="0" t="n">
        <v>10</v>
      </c>
      <c r="D54" s="0" t="n">
        <v>5.2</v>
      </c>
    </row>
    <row r="55" customFormat="false" ht="12.85" hidden="false" customHeight="true" outlineLevel="0" collapsed="false">
      <c r="B55" s="0" t="s">
        <v>10</v>
      </c>
      <c r="C55" s="0" t="n">
        <v>9</v>
      </c>
      <c r="D55" s="0" t="n">
        <v>5.2</v>
      </c>
    </row>
    <row r="56" customFormat="false" ht="12.85" hidden="false" customHeight="true" outlineLevel="0" collapsed="false">
      <c r="B56" s="0" t="s">
        <v>27</v>
      </c>
      <c r="C56" s="0" t="n">
        <v>8</v>
      </c>
      <c r="D56" s="0" t="n">
        <v>3.2</v>
      </c>
    </row>
    <row r="57" customFormat="false" ht="12.85" hidden="false" customHeight="true" outlineLevel="0" collapsed="false">
      <c r="B57" s="0" t="s">
        <v>7</v>
      </c>
      <c r="C57" s="0" t="n">
        <v>7</v>
      </c>
      <c r="D57" s="0" t="n">
        <v>2</v>
      </c>
    </row>
    <row r="58" customFormat="false" ht="12.85" hidden="false" customHeight="true" outlineLevel="0" collapsed="false">
      <c r="B58" s="0" t="s">
        <v>14</v>
      </c>
      <c r="C58" s="0" t="n">
        <v>7</v>
      </c>
      <c r="D58" s="0" t="n">
        <v>2.2</v>
      </c>
    </row>
    <row r="59" customFormat="false" ht="12.85" hidden="false" customHeight="true" outlineLevel="0" collapsed="false">
      <c r="B59" s="0" t="s">
        <v>11</v>
      </c>
      <c r="C59" s="0" t="n">
        <v>7</v>
      </c>
      <c r="D59" s="0" t="n">
        <v>3.3</v>
      </c>
    </row>
    <row r="60" customFormat="false" ht="12.85" hidden="false" customHeight="true" outlineLevel="0" collapsed="false">
      <c r="B60" s="0" t="s">
        <v>8</v>
      </c>
      <c r="C60" s="0" t="n">
        <v>5</v>
      </c>
      <c r="D60" s="0" t="n">
        <v>4.7</v>
      </c>
    </row>
    <row r="61" customFormat="false" ht="12.85" hidden="false" customHeight="true" outlineLevel="0" collapsed="false">
      <c r="B61" s="0" t="s">
        <v>6</v>
      </c>
      <c r="C61" s="0" t="n">
        <v>3</v>
      </c>
      <c r="D61" s="0" t="n">
        <v>2</v>
      </c>
    </row>
    <row r="62" customFormat="false" ht="12.85" hidden="false" customHeight="true" outlineLevel="0" collapsed="false">
      <c r="B62" s="0" t="s">
        <v>9</v>
      </c>
      <c r="C62" s="0" t="n">
        <v>3</v>
      </c>
      <c r="D62" s="0" t="n">
        <v>7.1</v>
      </c>
    </row>
    <row r="63" customFormat="false" ht="12.85" hidden="false" customHeight="true" outlineLevel="0" collapsed="false">
      <c r="B63" s="0" t="s">
        <v>26</v>
      </c>
      <c r="C63" s="0" t="n">
        <v>0</v>
      </c>
      <c r="D63" s="0" t="n">
        <v>13</v>
      </c>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B39:D63"/>
  <conditionalFormatting sqref="D2:AF18">
    <cfRule type="cellIs" priority="2" operator="equal" aboveAverage="0" equalAverage="0" bottom="0" percent="0" rank="0" text="" dxfId="1">
      <formula>llm_manual_test_matrix!$C2</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229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2025-09-19T06:26:33Z</dcterms:modified>
  <cp:revision>22</cp:revision>
  <dc:subject/>
  <dc:title/>
</cp:coreProperties>
</file>